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 Summary" sheetId="1" state="visible" r:id="rId1"/>
  </sheets>
  <definedNames>
    <definedName name="_xlnm._FilterDatabase" localSheetId="0" hidden="1">'Remediation Summary'!$A$1:$C$6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5" customWidth="1" min="3" max="3"/>
  </cols>
  <sheetData>
    <row r="1" ht="28" customHeight="1">
      <c r="A1" s="1" t="inlineStr">
        <is>
          <t>Metric</t>
        </is>
      </c>
      <c r="B1" s="1" t="inlineStr">
        <is>
          <t>Formula / Calculation</t>
        </is>
      </c>
      <c r="C1" s="1" t="inlineStr">
        <is>
          <t>Value</t>
        </is>
      </c>
    </row>
    <row r="2" ht="22" customHeight="1">
      <c r="A2" s="2" t="inlineStr">
        <is>
          <t>Total Remediation Items</t>
        </is>
      </c>
      <c r="B2" s="3">
        <f>COUNTA(Remediation_Register!A2:A101)</f>
        <v/>
      </c>
      <c r="C2" s="4" t="n">
        <v>100</v>
      </c>
    </row>
    <row r="3" ht="22" customHeight="1">
      <c r="A3" s="5" t="inlineStr">
        <is>
          <t>Closed Remediation Items</t>
        </is>
      </c>
      <c r="B3" s="6">
        <f>COUNTIF(Remediation_Register!M2:M101, "Closed")</f>
        <v/>
      </c>
      <c r="C3" s="7" t="n">
        <v>67</v>
      </c>
    </row>
    <row r="4" ht="22" customHeight="1">
      <c r="A4" s="2" t="inlineStr">
        <is>
          <t>In Progress Items</t>
        </is>
      </c>
      <c r="B4" s="3">
        <f>COUNTIF(Remediation_Register!M2:M101, "In Progress")</f>
        <v/>
      </c>
      <c r="C4" s="4" t="n">
        <v>17</v>
      </c>
    </row>
    <row r="5" ht="22" customHeight="1">
      <c r="A5" s="5" t="inlineStr">
        <is>
          <t>Open Items</t>
        </is>
      </c>
      <c r="B5" s="6">
        <f>COUNTIF(Remediation_Register!M2:M101, "Open")</f>
        <v/>
      </c>
      <c r="C5" s="7" t="n">
        <v>16</v>
      </c>
    </row>
    <row r="6" ht="22" customHeight="1">
      <c r="A6" s="2" t="inlineStr">
        <is>
          <t>Remediation Closure Rate %</t>
        </is>
      </c>
      <c r="B6" s="3">
        <f>COUNTIF(Remediation_Register!M2:M101, "Closed")/COUNTA(Remediation_Register!A2:A101)*100</f>
        <v/>
      </c>
      <c r="C6" s="4" t="n">
        <v>67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2026-08-08T17:33:29Z</dcterms:created>
  <dcterms:modified xmlns:dcterms="http://purl.org/dc/terms/" xmlns:xsi="http://www.w3.org/2001/XMLSchema-instance" xsi:type="dcterms:W3CDTF">2026-08-08T17:33:29Z</dcterms:modified>
</cp:coreProperties>
</file>