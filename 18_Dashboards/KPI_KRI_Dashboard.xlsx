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KRI Framework" sheetId="1" state="visible" r:id="rId1"/>
  </sheets>
  <definedNames>
    <definedName name="_xlnm._FilterDatabase" localSheetId="0" hidden="1">'KPI KRI Framework'!$A$1:$K$31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color rgb="00896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45" customWidth="1" min="4" max="4"/>
    <col width="25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2" customWidth="1" min="11" max="11"/>
  </cols>
  <sheetData>
    <row r="1" ht="28" customHeight="1">
      <c r="A1" s="1" t="inlineStr">
        <is>
          <t>Metric ID</t>
        </is>
      </c>
      <c r="B1" s="1" t="inlineStr">
        <is>
          <t>Metric Name</t>
        </is>
      </c>
      <c r="C1" s="1" t="inlineStr">
        <is>
          <t>Type (KPI/KRI)</t>
        </is>
      </c>
      <c r="D1" s="1" t="inlineStr">
        <is>
          <t>Metric Definition</t>
        </is>
      </c>
      <c r="E1" s="1" t="inlineStr">
        <is>
          <t>Formula / Source</t>
        </is>
      </c>
      <c r="F1" s="1" t="inlineStr">
        <is>
          <t>Target</t>
        </is>
      </c>
      <c r="G1" s="1" t="inlineStr">
        <is>
          <t>Threshold</t>
        </is>
      </c>
      <c r="H1" s="1" t="inlineStr">
        <is>
          <t>Current Value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Frequency</t>
        </is>
      </c>
    </row>
    <row r="2" ht="22" customHeight="1">
      <c r="A2" s="2" t="inlineStr">
        <is>
          <t>KPI-001</t>
        </is>
      </c>
      <c r="B2" s="2" t="inlineStr">
        <is>
          <t>Control Testing Completion %</t>
        </is>
      </c>
      <c r="C2" s="2" t="inlineStr">
        <is>
          <t>KPI</t>
        </is>
      </c>
      <c r="D2" s="2" t="inlineStr">
        <is>
          <t>Percentage of scheduled control operating effectiveness tests completed</t>
        </is>
      </c>
      <c r="E2" s="3">
        <f>Completed_Tests / Total_Tests</f>
        <v/>
      </c>
      <c r="F2" s="2" t="inlineStr">
        <is>
          <t>100.0%</t>
        </is>
      </c>
      <c r="G2" s="2" t="inlineStr">
        <is>
          <t>90.0%</t>
        </is>
      </c>
      <c r="H2" s="4" t="n">
        <v>95</v>
      </c>
      <c r="I2" s="5" t="inlineStr">
        <is>
          <t>Compliant</t>
        </is>
      </c>
      <c r="J2" s="2" t="inlineStr">
        <is>
          <t>GRC Manager</t>
        </is>
      </c>
      <c r="K2" s="2" t="inlineStr">
        <is>
          <t>Monthly</t>
        </is>
      </c>
    </row>
    <row r="3" ht="22" customHeight="1">
      <c r="A3" s="6" t="inlineStr">
        <is>
          <t>KPI-002</t>
        </is>
      </c>
      <c r="B3" s="6" t="inlineStr">
        <is>
          <t>Evidence Collection Completion %</t>
        </is>
      </c>
      <c r="C3" s="6" t="inlineStr">
        <is>
          <t>KPI</t>
        </is>
      </c>
      <c r="D3" s="6" t="inlineStr">
        <is>
          <t>Percentage of required evidence collected on schedule</t>
        </is>
      </c>
      <c r="E3" s="7">
        <f>Collected_Evidence / Required_Evidence</f>
        <v/>
      </c>
      <c r="F3" s="6" t="inlineStr">
        <is>
          <t>95.0%</t>
        </is>
      </c>
      <c r="G3" s="6" t="inlineStr">
        <is>
          <t>85.0%</t>
        </is>
      </c>
      <c r="H3" s="8" t="n">
        <v>92</v>
      </c>
      <c r="I3" s="5" t="inlineStr">
        <is>
          <t>Compliant</t>
        </is>
      </c>
      <c r="J3" s="6" t="inlineStr">
        <is>
          <t>Compliance Analyst</t>
        </is>
      </c>
      <c r="K3" s="6" t="inlineStr">
        <is>
          <t>Quarterly</t>
        </is>
      </c>
    </row>
    <row r="4" ht="22" customHeight="1">
      <c r="A4" s="2" t="inlineStr">
        <is>
          <t>KPI-003</t>
        </is>
      </c>
      <c r="B4" s="2" t="inlineStr">
        <is>
          <t>Evidence Validation Rate %</t>
        </is>
      </c>
      <c r="C4" s="2" t="inlineStr">
        <is>
          <t>KPI</t>
        </is>
      </c>
      <c r="D4" s="2" t="inlineStr">
        <is>
          <t>Percentage of collected evidence reviewed and validated</t>
        </is>
      </c>
      <c r="E4" s="3">
        <f>Validated_Evidence / Collected_Evidence</f>
        <v/>
      </c>
      <c r="F4" s="2" t="inlineStr">
        <is>
          <t>95.0%</t>
        </is>
      </c>
      <c r="G4" s="2" t="inlineStr">
        <is>
          <t>85.0%</t>
        </is>
      </c>
      <c r="H4" s="4" t="n">
        <v>96</v>
      </c>
      <c r="I4" s="5" t="inlineStr">
        <is>
          <t>Compliant</t>
        </is>
      </c>
      <c r="J4" s="2" t="inlineStr">
        <is>
          <t>Senior Auditor</t>
        </is>
      </c>
      <c r="K4" s="2" t="inlineStr">
        <is>
          <t>Quarterly</t>
        </is>
      </c>
    </row>
    <row r="5" ht="22" customHeight="1">
      <c r="A5" s="6" t="inlineStr">
        <is>
          <t>KPI-004</t>
        </is>
      </c>
      <c r="B5" s="6" t="inlineStr">
        <is>
          <t>Quarterly Access Review Completion</t>
        </is>
      </c>
      <c r="C5" s="6" t="inlineStr">
        <is>
          <t>KPI</t>
        </is>
      </c>
      <c r="D5" s="6" t="inlineStr">
        <is>
          <t>Percentage of privileged access accounts reviewed quarterly</t>
        </is>
      </c>
      <c r="E5" s="7">
        <f>Reviewed_Accounts / Total_Accounts</f>
        <v/>
      </c>
      <c r="F5" s="6" t="inlineStr">
        <is>
          <t>100.0%</t>
        </is>
      </c>
      <c r="G5" s="6" t="inlineStr">
        <is>
          <t>95.0%</t>
        </is>
      </c>
      <c r="H5" s="8" t="n">
        <v>96</v>
      </c>
      <c r="I5" s="9" t="inlineStr">
        <is>
          <t>Pass with Observation</t>
        </is>
      </c>
      <c r="J5" s="6" t="inlineStr">
        <is>
          <t>IAM Administrator</t>
        </is>
      </c>
      <c r="K5" s="6" t="inlineStr">
        <is>
          <t>Quarterly</t>
        </is>
      </c>
    </row>
    <row r="6" ht="22" customHeight="1">
      <c r="A6" s="2" t="inlineStr">
        <is>
          <t>KPI-005</t>
        </is>
      </c>
      <c r="B6" s="2" t="inlineStr">
        <is>
          <t>Vendor Security Assessment Rate</t>
        </is>
      </c>
      <c r="C6" s="2" t="inlineStr">
        <is>
          <t>KPI</t>
        </is>
      </c>
      <c r="D6" s="2" t="inlineStr">
        <is>
          <t>Percentage of active vendors with completed annual security review</t>
        </is>
      </c>
      <c r="E6" s="3">
        <f>Assessed_Vendors / Total_Vendors</f>
        <v/>
      </c>
      <c r="F6" s="2" t="inlineStr">
        <is>
          <t>95.0%</t>
        </is>
      </c>
      <c r="G6" s="2" t="inlineStr">
        <is>
          <t>85.0%</t>
        </is>
      </c>
      <c r="H6" s="4" t="n">
        <v>90</v>
      </c>
      <c r="I6" s="5" t="inlineStr">
        <is>
          <t>Compliant</t>
        </is>
      </c>
      <c r="J6" s="2" t="inlineStr">
        <is>
          <t>Vendor Risk Manager</t>
        </is>
      </c>
      <c r="K6" s="2" t="inlineStr">
        <is>
          <t>Annual</t>
        </is>
      </c>
    </row>
    <row r="7" ht="22" customHeight="1">
      <c r="A7" s="6" t="inlineStr">
        <is>
          <t>KPI-006</t>
        </is>
      </c>
      <c r="B7" s="6" t="inlineStr">
        <is>
          <t>Security Awareness Completion %</t>
        </is>
      </c>
      <c r="C7" s="6" t="inlineStr">
        <is>
          <t>KPI</t>
        </is>
      </c>
      <c r="D7" s="6" t="inlineStr">
        <is>
          <t>Percentage of employees completing mandatory security training</t>
        </is>
      </c>
      <c r="E7" s="7">
        <f>Trained_Staff / Total_Staff</f>
        <v/>
      </c>
      <c r="F7" s="6" t="inlineStr">
        <is>
          <t>98.0%</t>
        </is>
      </c>
      <c r="G7" s="6" t="inlineStr">
        <is>
          <t>90.0%</t>
        </is>
      </c>
      <c r="H7" s="8" t="n">
        <v>97</v>
      </c>
      <c r="I7" s="5" t="inlineStr">
        <is>
          <t>Compliant</t>
        </is>
      </c>
      <c r="J7" s="6" t="inlineStr">
        <is>
          <t>HR Manager</t>
        </is>
      </c>
      <c r="K7" s="6" t="inlineStr">
        <is>
          <t>Monthly</t>
        </is>
      </c>
    </row>
    <row r="8" ht="22" customHeight="1">
      <c r="A8" s="2" t="inlineStr">
        <is>
          <t>KPI-007</t>
        </is>
      </c>
      <c r="B8" s="2" t="inlineStr">
        <is>
          <t>Finding Closure Rate %</t>
        </is>
      </c>
      <c r="C8" s="2" t="inlineStr">
        <is>
          <t>KPI</t>
        </is>
      </c>
      <c r="D8" s="2" t="inlineStr">
        <is>
          <t>Percentage of identified control findings resolved</t>
        </is>
      </c>
      <c r="E8" s="3">
        <f>Closed_Findings / Total_Findings</f>
        <v/>
      </c>
      <c r="F8" s="2" t="inlineStr">
        <is>
          <t>85.0%</t>
        </is>
      </c>
      <c r="G8" s="2" t="inlineStr">
        <is>
          <t>70.0%</t>
        </is>
      </c>
      <c r="H8" s="4" t="n">
        <v>75</v>
      </c>
      <c r="I8" s="9" t="inlineStr">
        <is>
          <t>In Progress</t>
        </is>
      </c>
      <c r="J8" s="2" t="inlineStr">
        <is>
          <t>Security Manager</t>
        </is>
      </c>
      <c r="K8" s="2" t="inlineStr">
        <is>
          <t>Monthly</t>
        </is>
      </c>
    </row>
    <row r="9" ht="22" customHeight="1">
      <c r="A9" s="6" t="inlineStr">
        <is>
          <t>KPI-008</t>
        </is>
      </c>
      <c r="B9" s="6" t="inlineStr">
        <is>
          <t>Remediation Completion Rate %</t>
        </is>
      </c>
      <c r="C9" s="6" t="inlineStr">
        <is>
          <t>KPI</t>
        </is>
      </c>
      <c r="D9" s="6" t="inlineStr">
        <is>
          <t>Percentage of corrective action items completed before due date</t>
        </is>
      </c>
      <c r="E9" s="7">
        <f>Closed_Rem / Total_Rem</f>
        <v/>
      </c>
      <c r="F9" s="6" t="inlineStr">
        <is>
          <t>85.0%</t>
        </is>
      </c>
      <c r="G9" s="6" t="inlineStr">
        <is>
          <t>75.0%</t>
        </is>
      </c>
      <c r="H9" s="8" t="n">
        <v>67</v>
      </c>
      <c r="I9" s="9" t="inlineStr">
        <is>
          <t>In Progress</t>
        </is>
      </c>
      <c r="J9" s="6" t="inlineStr">
        <is>
          <t>Cloud Security Engineer</t>
        </is>
      </c>
      <c r="K9" s="6" t="inlineStr">
        <is>
          <t>Monthly</t>
        </is>
      </c>
    </row>
    <row r="10" ht="22" customHeight="1">
      <c r="A10" s="2" t="inlineStr">
        <is>
          <t>KPI-009</t>
        </is>
      </c>
      <c r="B10" s="2" t="inlineStr">
        <is>
          <t>Audit Preparation Readiness %</t>
        </is>
      </c>
      <c r="C10" s="2" t="inlineStr">
        <is>
          <t>KPI</t>
        </is>
      </c>
      <c r="D10" s="2" t="inlineStr">
        <is>
          <t>Percentage of controls with audit-ready evidence packages</t>
        </is>
      </c>
      <c r="E10" s="3">
        <f>Ready_Controls / Total_Controls</f>
        <v/>
      </c>
      <c r="F10" s="2" t="inlineStr">
        <is>
          <t>90.0%</t>
        </is>
      </c>
      <c r="G10" s="2" t="inlineStr">
        <is>
          <t>80.0%</t>
        </is>
      </c>
      <c r="H10" s="4" t="n">
        <v>84</v>
      </c>
      <c r="I10" s="2" t="inlineStr">
        <is>
          <t>On Track</t>
        </is>
      </c>
      <c r="J10" s="2" t="inlineStr">
        <is>
          <t>GRC Manager</t>
        </is>
      </c>
      <c r="K10" s="2" t="inlineStr">
        <is>
          <t>Quarterly</t>
        </is>
      </c>
    </row>
    <row r="11" ht="22" customHeight="1">
      <c r="A11" s="6" t="inlineStr">
        <is>
          <t>KPI-010</t>
        </is>
      </c>
      <c r="B11" s="6" t="inlineStr">
        <is>
          <t>Customer Questionnaire SLA Pass Rate</t>
        </is>
      </c>
      <c r="C11" s="6" t="inlineStr">
        <is>
          <t>KPI</t>
        </is>
      </c>
      <c r="D11" s="6" t="inlineStr">
        <is>
          <t>Percentage of security questionnaires answered within 3-day SLA</t>
        </is>
      </c>
      <c r="E11" s="7">
        <f>SLA_Met / Total_Questionnaires</f>
        <v/>
      </c>
      <c r="F11" s="6" t="inlineStr">
        <is>
          <t>95.0%</t>
        </is>
      </c>
      <c r="G11" s="6" t="inlineStr">
        <is>
          <t>85.0%</t>
        </is>
      </c>
      <c r="H11" s="8" t="n">
        <v>96</v>
      </c>
      <c r="I11" s="5" t="inlineStr">
        <is>
          <t>Compliant</t>
        </is>
      </c>
      <c r="J11" s="6" t="inlineStr">
        <is>
          <t>Compliance Analyst</t>
        </is>
      </c>
      <c r="K11" s="6" t="inlineStr">
        <is>
          <t>Monthly</t>
        </is>
      </c>
    </row>
    <row r="12" ht="22" customHeight="1">
      <c r="A12" s="2" t="inlineStr">
        <is>
          <t>KRI-001</t>
        </is>
      </c>
      <c r="B12" s="2" t="inlineStr">
        <is>
          <t>Failed Controls Count</t>
        </is>
      </c>
      <c r="C12" s="2" t="inlineStr">
        <is>
          <t>KRI</t>
        </is>
      </c>
      <c r="D12" s="2" t="inlineStr">
        <is>
          <t>Number of security controls failing operating effectiveness tests</t>
        </is>
      </c>
      <c r="E12" s="2" t="inlineStr">
        <is>
          <t>COUNTIF(Test_Result, FAIL)</t>
        </is>
      </c>
      <c r="F12" s="2" t="inlineStr">
        <is>
          <t>0</t>
        </is>
      </c>
      <c r="G12" s="2" t="inlineStr">
        <is>
          <t>5</t>
        </is>
      </c>
      <c r="H12" s="4" t="n">
        <v>2</v>
      </c>
      <c r="I12" s="2" t="inlineStr">
        <is>
          <t>Low Risk</t>
        </is>
      </c>
      <c r="J12" s="2" t="inlineStr">
        <is>
          <t>CISO</t>
        </is>
      </c>
      <c r="K12" s="2" t="inlineStr">
        <is>
          <t>Monthly</t>
        </is>
      </c>
    </row>
    <row r="13" ht="22" customHeight="1">
      <c r="A13" s="6" t="inlineStr">
        <is>
          <t>KRI-002</t>
        </is>
      </c>
      <c r="B13" s="6" t="inlineStr">
        <is>
          <t>Missing Evidence Items</t>
        </is>
      </c>
      <c r="C13" s="6" t="inlineStr">
        <is>
          <t>KRI</t>
        </is>
      </c>
      <c r="D13" s="6" t="inlineStr">
        <is>
          <t>Count of required compliance evidence records missing or uncollected</t>
        </is>
      </c>
      <c r="E13" s="6" t="inlineStr">
        <is>
          <t>COUNTIF(Status, Missing)</t>
        </is>
      </c>
      <c r="F13" s="6" t="inlineStr">
        <is>
          <t>0</t>
        </is>
      </c>
      <c r="G13" s="6" t="inlineStr">
        <is>
          <t>10</t>
        </is>
      </c>
      <c r="H13" s="8" t="n">
        <v>5</v>
      </c>
      <c r="I13" s="6" t="inlineStr">
        <is>
          <t>Medium Risk</t>
        </is>
      </c>
      <c r="J13" s="6" t="inlineStr">
        <is>
          <t>Compliance Analyst</t>
        </is>
      </c>
      <c r="K13" s="6" t="inlineStr">
        <is>
          <t>Quarterly</t>
        </is>
      </c>
    </row>
    <row r="14" ht="22" customHeight="1">
      <c r="A14" s="2" t="inlineStr">
        <is>
          <t>KRI-003</t>
        </is>
      </c>
      <c r="B14" s="2" t="inlineStr">
        <is>
          <t>Expired Evidence Artifacts</t>
        </is>
      </c>
      <c r="C14" s="2" t="inlineStr">
        <is>
          <t>KRI</t>
        </is>
      </c>
      <c r="D14" s="2" t="inlineStr">
        <is>
          <t>Count of evidence artifacts past their valid period</t>
        </is>
      </c>
      <c r="E14" s="2" t="inlineStr">
        <is>
          <t>COUNTIF(Status, Expired)</t>
        </is>
      </c>
      <c r="F14" s="2" t="inlineStr">
        <is>
          <t>0</t>
        </is>
      </c>
      <c r="G14" s="2" t="inlineStr">
        <is>
          <t>5</t>
        </is>
      </c>
      <c r="H14" s="4" t="n">
        <v>2</v>
      </c>
      <c r="I14" s="2" t="inlineStr">
        <is>
          <t>Low Risk</t>
        </is>
      </c>
      <c r="J14" s="2" t="inlineStr">
        <is>
          <t>Compliance Analyst</t>
        </is>
      </c>
      <c r="K14" s="2" t="inlineStr">
        <is>
          <t>Quarterly</t>
        </is>
      </c>
    </row>
    <row r="15" ht="22" customHeight="1">
      <c r="A15" s="6" t="inlineStr">
        <is>
          <t>KRI-004</t>
        </is>
      </c>
      <c r="B15" s="6" t="inlineStr">
        <is>
          <t>Critical Audit Findings</t>
        </is>
      </c>
      <c r="C15" s="6" t="inlineStr">
        <is>
          <t>KRI</t>
        </is>
      </c>
      <c r="D15" s="6" t="inlineStr">
        <is>
          <t>Number of open critical severity audit findings</t>
        </is>
      </c>
      <c r="E15" s="6" t="inlineStr">
        <is>
          <t>COUNTIF(Severity, Critical)</t>
        </is>
      </c>
      <c r="F15" s="6" t="inlineStr">
        <is>
          <t>0</t>
        </is>
      </c>
      <c r="G15" s="6" t="inlineStr">
        <is>
          <t>1</t>
        </is>
      </c>
      <c r="H15" s="8" t="n">
        <v>0</v>
      </c>
      <c r="I15" s="5" t="inlineStr">
        <is>
          <t>Compliant</t>
        </is>
      </c>
      <c r="J15" s="6" t="inlineStr">
        <is>
          <t>CISO</t>
        </is>
      </c>
      <c r="K15" s="6" t="inlineStr">
        <is>
          <t>Continuous</t>
        </is>
      </c>
    </row>
    <row r="16" ht="22" customHeight="1">
      <c r="A16" s="2" t="inlineStr">
        <is>
          <t>KRI-005</t>
        </is>
      </c>
      <c r="B16" s="2" t="inlineStr">
        <is>
          <t>Overdue Remediation Actions</t>
        </is>
      </c>
      <c r="C16" s="2" t="inlineStr">
        <is>
          <t>KRI</t>
        </is>
      </c>
      <c r="D16" s="2" t="inlineStr">
        <is>
          <t>Count of corrective action items past target due date</t>
        </is>
      </c>
      <c r="E16" s="2" t="inlineStr">
        <is>
          <t>COUNTIF(Status, Overdue)</t>
        </is>
      </c>
      <c r="F16" s="2" t="inlineStr">
        <is>
          <t>0</t>
        </is>
      </c>
      <c r="G16" s="2" t="inlineStr">
        <is>
          <t>5</t>
        </is>
      </c>
      <c r="H16" s="4" t="n">
        <v>4</v>
      </c>
      <c r="I16" s="2" t="inlineStr">
        <is>
          <t>Medium Risk</t>
        </is>
      </c>
      <c r="J16" s="2" t="inlineStr">
        <is>
          <t>Security Manager</t>
        </is>
      </c>
      <c r="K16" s="2" t="inlineStr">
        <is>
          <t>Monthly</t>
        </is>
      </c>
    </row>
    <row r="17" ht="22" customHeight="1">
      <c r="A17" s="6" t="inlineStr">
        <is>
          <t>KRI-006</t>
        </is>
      </c>
      <c r="B17" s="6" t="inlineStr">
        <is>
          <t>Expiring Policy Exceptions</t>
        </is>
      </c>
      <c r="C17" s="6" t="inlineStr">
        <is>
          <t>KRI</t>
        </is>
      </c>
      <c r="D17" s="6" t="inlineStr">
        <is>
          <t>Count of approved policy exceptions expiring within 30 days</t>
        </is>
      </c>
      <c r="E17" s="6" t="inlineStr">
        <is>
          <t>COUNTIF(Days, &lt;30)</t>
        </is>
      </c>
      <c r="F17" s="6" t="inlineStr">
        <is>
          <t>0</t>
        </is>
      </c>
      <c r="G17" s="6" t="inlineStr">
        <is>
          <t>5</t>
        </is>
      </c>
      <c r="H17" s="8" t="n">
        <v>3</v>
      </c>
      <c r="I17" s="6" t="inlineStr">
        <is>
          <t>Medium Risk</t>
        </is>
      </c>
      <c r="J17" s="6" t="inlineStr">
        <is>
          <t>GRC Manager</t>
        </is>
      </c>
      <c r="K17" s="6" t="inlineStr">
        <is>
          <t>Monthly</t>
        </is>
      </c>
    </row>
    <row r="18" ht="22" customHeight="1">
      <c r="A18" s="2" t="inlineStr">
        <is>
          <t>KRI-007</t>
        </is>
      </c>
      <c r="B18" s="2" t="inlineStr">
        <is>
          <t>High-Risk Vendors Without SOC 2</t>
        </is>
      </c>
      <c r="C18" s="2" t="inlineStr">
        <is>
          <t>KRI</t>
        </is>
      </c>
      <c r="D18" s="2" t="inlineStr">
        <is>
          <t>Count of Tier 1 vendors lacking valid SOC 2 / ISO certs</t>
        </is>
      </c>
      <c r="E18" s="2" t="inlineStr">
        <is>
          <t>COUNTIF(SOC2, Missing)</t>
        </is>
      </c>
      <c r="F18" s="2" t="inlineStr">
        <is>
          <t>0</t>
        </is>
      </c>
      <c r="G18" s="2" t="inlineStr">
        <is>
          <t>2</t>
        </is>
      </c>
      <c r="H18" s="4" t="n">
        <v>1</v>
      </c>
      <c r="I18" s="2" t="inlineStr">
        <is>
          <t>Medium Risk</t>
        </is>
      </c>
      <c r="J18" s="2" t="inlineStr">
        <is>
          <t>Vendor Risk Manager</t>
        </is>
      </c>
      <c r="K18" s="2" t="inlineStr">
        <is>
          <t>Quarterly</t>
        </is>
      </c>
    </row>
    <row r="19" ht="22" customHeight="1">
      <c r="A19" s="6" t="inlineStr">
        <is>
          <t>KRI-008</t>
        </is>
      </c>
      <c r="B19" s="6" t="inlineStr">
        <is>
          <t>Privileged Access Exception Count</t>
        </is>
      </c>
      <c r="C19" s="6" t="inlineStr">
        <is>
          <t>KRI</t>
        </is>
      </c>
      <c r="D19" s="6" t="inlineStr">
        <is>
          <t>Count of unapproved or shared administrative accounts</t>
        </is>
      </c>
      <c r="E19" s="6" t="inlineStr">
        <is>
          <t>COUNTIF(Review_Result, Flagged)</t>
        </is>
      </c>
      <c r="F19" s="6" t="inlineStr">
        <is>
          <t>0</t>
        </is>
      </c>
      <c r="G19" s="6" t="inlineStr">
        <is>
          <t>3</t>
        </is>
      </c>
      <c r="H19" s="8" t="n">
        <v>2</v>
      </c>
      <c r="I19" s="6" t="inlineStr">
        <is>
          <t>Medium Risk</t>
        </is>
      </c>
      <c r="J19" s="6" t="inlineStr">
        <is>
          <t>IAM Administrator</t>
        </is>
      </c>
      <c r="K19" s="6" t="inlineStr">
        <is>
          <t>Quarterly</t>
        </is>
      </c>
    </row>
    <row r="20" ht="22" customHeight="1">
      <c r="A20" s="2" t="inlineStr">
        <is>
          <t>KRI-009</t>
        </is>
      </c>
      <c r="B20" s="2" t="inlineStr">
        <is>
          <t>Overdue Critical Vulnerabilities</t>
        </is>
      </c>
      <c r="C20" s="2" t="inlineStr">
        <is>
          <t>KRI</t>
        </is>
      </c>
      <c r="D20" s="2" t="inlineStr">
        <is>
          <t>Count of CVSS &gt;9.0 vulnerabilities past 14-day patching SLA</t>
        </is>
      </c>
      <c r="E20" s="2" t="inlineStr">
        <is>
          <t>COUNTIF(SLA, Overdue)</t>
        </is>
      </c>
      <c r="F20" s="2" t="inlineStr">
        <is>
          <t>0</t>
        </is>
      </c>
      <c r="G20" s="2" t="inlineStr">
        <is>
          <t>2</t>
        </is>
      </c>
      <c r="H20" s="4" t="n">
        <v>1</v>
      </c>
      <c r="I20" s="2" t="inlineStr">
        <is>
          <t>Medium Risk</t>
        </is>
      </c>
      <c r="J20" s="2" t="inlineStr">
        <is>
          <t>Cloud Security Eng</t>
        </is>
      </c>
      <c r="K20" s="2" t="inlineStr">
        <is>
          <t>Weekly</t>
        </is>
      </c>
    </row>
    <row r="21" ht="22" customHeight="1">
      <c r="A21" s="6" t="inlineStr">
        <is>
          <t>KRI-010</t>
        </is>
      </c>
      <c r="B21" s="6" t="inlineStr">
        <is>
          <t>Unapproved Production Changes</t>
        </is>
      </c>
      <c r="C21" s="6" t="inlineStr">
        <is>
          <t>KRI</t>
        </is>
      </c>
      <c r="D21" s="6" t="inlineStr">
        <is>
          <t>Count of production code deployments bypassing CAB approval</t>
        </is>
      </c>
      <c r="E21" s="6" t="inlineStr">
        <is>
          <t>COUNTIF(CAB, Missing)</t>
        </is>
      </c>
      <c r="F21" s="6" t="inlineStr">
        <is>
          <t>0</t>
        </is>
      </c>
      <c r="G21" s="6" t="inlineStr">
        <is>
          <t>1</t>
        </is>
      </c>
      <c r="H21" s="8" t="n">
        <v>0</v>
      </c>
      <c r="I21" s="5" t="inlineStr">
        <is>
          <t>Compliant</t>
        </is>
      </c>
      <c r="J21" s="6" t="inlineStr">
        <is>
          <t>DevOps Manager</t>
        </is>
      </c>
      <c r="K21" s="6" t="inlineStr">
        <is>
          <t>Monthly</t>
        </is>
      </c>
    </row>
    <row r="22" ht="22" customHeight="1">
      <c r="A22" s="2" t="inlineStr">
        <is>
          <t>KPI-011</t>
        </is>
      </c>
      <c r="B22" s="2" t="inlineStr">
        <is>
          <t>Operational Compliance Indicator #11</t>
        </is>
      </c>
      <c r="C22" s="2" t="inlineStr">
        <is>
          <t>KPI</t>
        </is>
      </c>
      <c r="D22" s="2" t="inlineStr">
        <is>
          <t>Measure operational compliance performance</t>
        </is>
      </c>
      <c r="E22" s="3">
        <f>Count/Total</f>
        <v/>
      </c>
      <c r="F22" s="2" t="inlineStr">
        <is>
          <t>90.0%</t>
        </is>
      </c>
      <c r="G22" s="2" t="inlineStr">
        <is>
          <t>80.0%</t>
        </is>
      </c>
      <c r="H22" s="4" t="n">
        <v>88</v>
      </c>
      <c r="I22" s="5" t="inlineStr">
        <is>
          <t>Compliant</t>
        </is>
      </c>
      <c r="J22" s="2" t="inlineStr">
        <is>
          <t>GRC Lead</t>
        </is>
      </c>
      <c r="K22" s="2" t="inlineStr">
        <is>
          <t>Monthly</t>
        </is>
      </c>
    </row>
    <row r="23" ht="22" customHeight="1">
      <c r="A23" s="6" t="inlineStr">
        <is>
          <t>KRI-011</t>
        </is>
      </c>
      <c r="B23" s="6" t="inlineStr">
        <is>
          <t>Security Compliance Risk Indicator #11</t>
        </is>
      </c>
      <c r="C23" s="6" t="inlineStr">
        <is>
          <t>KRI</t>
        </is>
      </c>
      <c r="D23" s="6" t="inlineStr">
        <is>
          <t>Measure residual compliance risk exposure</t>
        </is>
      </c>
      <c r="E23" s="6" t="inlineStr">
        <is>
          <t>COUNTIF(Risk)</t>
        </is>
      </c>
      <c r="F23" s="6" t="inlineStr">
        <is>
          <t>0</t>
        </is>
      </c>
      <c r="G23" s="6" t="inlineStr">
        <is>
          <t>5</t>
        </is>
      </c>
      <c r="H23" s="8" t="n">
        <v>1</v>
      </c>
      <c r="I23" s="6" t="inlineStr">
        <is>
          <t>Low Risk</t>
        </is>
      </c>
      <c r="J23" s="6" t="inlineStr">
        <is>
          <t>Risk Lead</t>
        </is>
      </c>
      <c r="K23" s="6" t="inlineStr">
        <is>
          <t>Monthly</t>
        </is>
      </c>
    </row>
    <row r="24" ht="22" customHeight="1">
      <c r="A24" s="2" t="inlineStr">
        <is>
          <t>KPI-012</t>
        </is>
      </c>
      <c r="B24" s="2" t="inlineStr">
        <is>
          <t>Operational Compliance Indicator #12</t>
        </is>
      </c>
      <c r="C24" s="2" t="inlineStr">
        <is>
          <t>KPI</t>
        </is>
      </c>
      <c r="D24" s="2" t="inlineStr">
        <is>
          <t>Measure operational compliance performance</t>
        </is>
      </c>
      <c r="E24" s="3">
        <f>Count/Total</f>
        <v/>
      </c>
      <c r="F24" s="2" t="inlineStr">
        <is>
          <t>90.0%</t>
        </is>
      </c>
      <c r="G24" s="2" t="inlineStr">
        <is>
          <t>80.0%</t>
        </is>
      </c>
      <c r="H24" s="4" t="n">
        <v>88</v>
      </c>
      <c r="I24" s="5" t="inlineStr">
        <is>
          <t>Compliant</t>
        </is>
      </c>
      <c r="J24" s="2" t="inlineStr">
        <is>
          <t>GRC Lead</t>
        </is>
      </c>
      <c r="K24" s="2" t="inlineStr">
        <is>
          <t>Monthly</t>
        </is>
      </c>
    </row>
    <row r="25" ht="22" customHeight="1">
      <c r="A25" s="6" t="inlineStr">
        <is>
          <t>KRI-012</t>
        </is>
      </c>
      <c r="B25" s="6" t="inlineStr">
        <is>
          <t>Security Compliance Risk Indicator #12</t>
        </is>
      </c>
      <c r="C25" s="6" t="inlineStr">
        <is>
          <t>KRI</t>
        </is>
      </c>
      <c r="D25" s="6" t="inlineStr">
        <is>
          <t>Measure residual compliance risk exposure</t>
        </is>
      </c>
      <c r="E25" s="6" t="inlineStr">
        <is>
          <t>COUNTIF(Risk)</t>
        </is>
      </c>
      <c r="F25" s="6" t="inlineStr">
        <is>
          <t>0</t>
        </is>
      </c>
      <c r="G25" s="6" t="inlineStr">
        <is>
          <t>5</t>
        </is>
      </c>
      <c r="H25" s="8" t="n">
        <v>1</v>
      </c>
      <c r="I25" s="6" t="inlineStr">
        <is>
          <t>Low Risk</t>
        </is>
      </c>
      <c r="J25" s="6" t="inlineStr">
        <is>
          <t>Risk Lead</t>
        </is>
      </c>
      <c r="K25" s="6" t="inlineStr">
        <is>
          <t>Monthly</t>
        </is>
      </c>
    </row>
    <row r="26" ht="22" customHeight="1">
      <c r="A26" s="2" t="inlineStr">
        <is>
          <t>KPI-013</t>
        </is>
      </c>
      <c r="B26" s="2" t="inlineStr">
        <is>
          <t>Operational Compliance Indicator #13</t>
        </is>
      </c>
      <c r="C26" s="2" t="inlineStr">
        <is>
          <t>KPI</t>
        </is>
      </c>
      <c r="D26" s="2" t="inlineStr">
        <is>
          <t>Measure operational compliance performance</t>
        </is>
      </c>
      <c r="E26" s="3">
        <f>Count/Total</f>
        <v/>
      </c>
      <c r="F26" s="2" t="inlineStr">
        <is>
          <t>90.0%</t>
        </is>
      </c>
      <c r="G26" s="2" t="inlineStr">
        <is>
          <t>80.0%</t>
        </is>
      </c>
      <c r="H26" s="4" t="n">
        <v>88</v>
      </c>
      <c r="I26" s="5" t="inlineStr">
        <is>
          <t>Compliant</t>
        </is>
      </c>
      <c r="J26" s="2" t="inlineStr">
        <is>
          <t>GRC Lead</t>
        </is>
      </c>
      <c r="K26" s="2" t="inlineStr">
        <is>
          <t>Monthly</t>
        </is>
      </c>
    </row>
    <row r="27" ht="22" customHeight="1">
      <c r="A27" s="6" t="inlineStr">
        <is>
          <t>KRI-013</t>
        </is>
      </c>
      <c r="B27" s="6" t="inlineStr">
        <is>
          <t>Security Compliance Risk Indicator #13</t>
        </is>
      </c>
      <c r="C27" s="6" t="inlineStr">
        <is>
          <t>KRI</t>
        </is>
      </c>
      <c r="D27" s="6" t="inlineStr">
        <is>
          <t>Measure residual compliance risk exposure</t>
        </is>
      </c>
      <c r="E27" s="6" t="inlineStr">
        <is>
          <t>COUNTIF(Risk)</t>
        </is>
      </c>
      <c r="F27" s="6" t="inlineStr">
        <is>
          <t>0</t>
        </is>
      </c>
      <c r="G27" s="6" t="inlineStr">
        <is>
          <t>5</t>
        </is>
      </c>
      <c r="H27" s="8" t="n">
        <v>1</v>
      </c>
      <c r="I27" s="6" t="inlineStr">
        <is>
          <t>Low Risk</t>
        </is>
      </c>
      <c r="J27" s="6" t="inlineStr">
        <is>
          <t>Risk Lead</t>
        </is>
      </c>
      <c r="K27" s="6" t="inlineStr">
        <is>
          <t>Monthly</t>
        </is>
      </c>
    </row>
    <row r="28" ht="22" customHeight="1">
      <c r="A28" s="2" t="inlineStr">
        <is>
          <t>KPI-014</t>
        </is>
      </c>
      <c r="B28" s="2" t="inlineStr">
        <is>
          <t>Operational Compliance Indicator #14</t>
        </is>
      </c>
      <c r="C28" s="2" t="inlineStr">
        <is>
          <t>KPI</t>
        </is>
      </c>
      <c r="D28" s="2" t="inlineStr">
        <is>
          <t>Measure operational compliance performance</t>
        </is>
      </c>
      <c r="E28" s="3">
        <f>Count/Total</f>
        <v/>
      </c>
      <c r="F28" s="2" t="inlineStr">
        <is>
          <t>90.0%</t>
        </is>
      </c>
      <c r="G28" s="2" t="inlineStr">
        <is>
          <t>80.0%</t>
        </is>
      </c>
      <c r="H28" s="4" t="n">
        <v>88</v>
      </c>
      <c r="I28" s="5" t="inlineStr">
        <is>
          <t>Compliant</t>
        </is>
      </c>
      <c r="J28" s="2" t="inlineStr">
        <is>
          <t>GRC Lead</t>
        </is>
      </c>
      <c r="K28" s="2" t="inlineStr">
        <is>
          <t>Monthly</t>
        </is>
      </c>
    </row>
    <row r="29" ht="22" customHeight="1">
      <c r="A29" s="6" t="inlineStr">
        <is>
          <t>KRI-014</t>
        </is>
      </c>
      <c r="B29" s="6" t="inlineStr">
        <is>
          <t>Security Compliance Risk Indicator #14</t>
        </is>
      </c>
      <c r="C29" s="6" t="inlineStr">
        <is>
          <t>KRI</t>
        </is>
      </c>
      <c r="D29" s="6" t="inlineStr">
        <is>
          <t>Measure residual compliance risk exposure</t>
        </is>
      </c>
      <c r="E29" s="6" t="inlineStr">
        <is>
          <t>COUNTIF(Risk)</t>
        </is>
      </c>
      <c r="F29" s="6" t="inlineStr">
        <is>
          <t>0</t>
        </is>
      </c>
      <c r="G29" s="6" t="inlineStr">
        <is>
          <t>5</t>
        </is>
      </c>
      <c r="H29" s="8" t="n">
        <v>1</v>
      </c>
      <c r="I29" s="6" t="inlineStr">
        <is>
          <t>Low Risk</t>
        </is>
      </c>
      <c r="J29" s="6" t="inlineStr">
        <is>
          <t>Risk Lead</t>
        </is>
      </c>
      <c r="K29" s="6" t="inlineStr">
        <is>
          <t>Monthly</t>
        </is>
      </c>
    </row>
    <row r="30" ht="22" customHeight="1">
      <c r="A30" s="2" t="inlineStr">
        <is>
          <t>KPI-015</t>
        </is>
      </c>
      <c r="B30" s="2" t="inlineStr">
        <is>
          <t>Operational Compliance Indicator #15</t>
        </is>
      </c>
      <c r="C30" s="2" t="inlineStr">
        <is>
          <t>KPI</t>
        </is>
      </c>
      <c r="D30" s="2" t="inlineStr">
        <is>
          <t>Measure operational compliance performance</t>
        </is>
      </c>
      <c r="E30" s="3">
        <f>Count/Total</f>
        <v/>
      </c>
      <c r="F30" s="2" t="inlineStr">
        <is>
          <t>90.0%</t>
        </is>
      </c>
      <c r="G30" s="2" t="inlineStr">
        <is>
          <t>80.0%</t>
        </is>
      </c>
      <c r="H30" s="4" t="n">
        <v>88</v>
      </c>
      <c r="I30" s="5" t="inlineStr">
        <is>
          <t>Compliant</t>
        </is>
      </c>
      <c r="J30" s="2" t="inlineStr">
        <is>
          <t>GRC Lead</t>
        </is>
      </c>
      <c r="K30" s="2" t="inlineStr">
        <is>
          <t>Monthly</t>
        </is>
      </c>
    </row>
    <row r="31" ht="22" customHeight="1">
      <c r="A31" s="6" t="inlineStr">
        <is>
          <t>KRI-015</t>
        </is>
      </c>
      <c r="B31" s="6" t="inlineStr">
        <is>
          <t>Security Compliance Risk Indicator #15</t>
        </is>
      </c>
      <c r="C31" s="6" t="inlineStr">
        <is>
          <t>KRI</t>
        </is>
      </c>
      <c r="D31" s="6" t="inlineStr">
        <is>
          <t>Measure residual compliance risk exposure</t>
        </is>
      </c>
      <c r="E31" s="6" t="inlineStr">
        <is>
          <t>COUNTIF(Risk)</t>
        </is>
      </c>
      <c r="F31" s="6" t="inlineStr">
        <is>
          <t>0</t>
        </is>
      </c>
      <c r="G31" s="6" t="inlineStr">
        <is>
          <t>5</t>
        </is>
      </c>
      <c r="H31" s="8" t="n">
        <v>1</v>
      </c>
      <c r="I31" s="6" t="inlineStr">
        <is>
          <t>Low Risk</t>
        </is>
      </c>
      <c r="J31" s="6" t="inlineStr">
        <is>
          <t>Risk Lead</t>
        </is>
      </c>
      <c r="K31" s="6" t="inlineStr">
        <is>
          <t>Monthly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2026-08-08T17:33:30Z</dcterms:created>
  <dcterms:modified xmlns:dcterms="http://purl.org/dc/terms/" xmlns:xsi="http://www.w3.org/2001/XMLSchema-instance" xsi:type="dcterms:W3CDTF">2026-08-08T17:33:30Z</dcterms:modified>
</cp:coreProperties>
</file>